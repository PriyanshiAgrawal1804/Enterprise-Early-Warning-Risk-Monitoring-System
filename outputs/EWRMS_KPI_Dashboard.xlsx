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Summary" sheetId="1" state="visible" r:id="rId3"/>
    <sheet name="Region_Data" sheetId="2" state="visible" r:id="rId4"/>
    <sheet name="Segment_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<sst xmlns="http://schemas.openxmlformats.org/spreadsheetml/2006/main" count="45" uniqueCount="41">
  <si>
    <t xml:space="preserve">Enterprise Early Warning Risk Monitoring System</t>
  </si>
  <si>
    <t xml:space="preserve">Portfolio KPI Summary  |  All figures formula-linked to Region_Data / Segment_Data</t>
  </si>
  <si>
    <t xml:space="preserve">KPI</t>
  </si>
  <si>
    <t xml:space="preserve">Value</t>
  </si>
  <si>
    <t xml:space="preserve">Total Loans in Portfolio</t>
  </si>
  <si>
    <t xml:space="preserve">Total Funded Amount</t>
  </si>
  <si>
    <t xml:space="preserve">Total Bad Loans (Charged-Off/Default)</t>
  </si>
  <si>
    <t xml:space="preserve">Bad Loan Amount</t>
  </si>
  <si>
    <t xml:space="preserve">Charge-Off / Default Rate (% of Amount)</t>
  </si>
  <si>
    <t xml:space="preserve">Bad Loan Rate (% of Count)</t>
  </si>
  <si>
    <t xml:space="preserve">Portfolio-wide Avg FICO Score</t>
  </si>
  <si>
    <t xml:space="preserve">Portfolio-wide Avg Interest Rate (%)</t>
  </si>
  <si>
    <t xml:space="preserve">Portfolio-wide Avg Interest Rate</t>
  </si>
  <si>
    <t xml:space="preserve">Highest-Risk Region (max Bad Rate)</t>
  </si>
  <si>
    <t xml:space="preserve">Customers in 'Distressed' Segment</t>
  </si>
  <si>
    <t xml:space="preserve">Distressed Segment Avg Default Rate</t>
  </si>
  <si>
    <t xml:space="preserve">Note: Region_Data and Segment_Data are pipeline outputs (blue cells). This sheet contains only formulas (black cells) so it recalculates automatically whenever the underlying pipeline is re-run and the data refreshed.</t>
  </si>
  <si>
    <t xml:space="preserve">Regional Portfolio Aggregates (source: outputs/processed_data/loan_data_with_risk_scores.csv)</t>
  </si>
  <si>
    <t xml:space="preserve">region</t>
  </si>
  <si>
    <t xml:space="preserve">total_loans</t>
  </si>
  <si>
    <t xml:space="preserve">total_amount</t>
  </si>
  <si>
    <t xml:space="preserve">bad_loans</t>
  </si>
  <si>
    <t xml:space="preserve">bad_amount</t>
  </si>
  <si>
    <t xml:space="preserve">avg_dti</t>
  </si>
  <si>
    <t xml:space="preserve">avg_fico</t>
  </si>
  <si>
    <t xml:space="preserve">avg_risk_score</t>
  </si>
  <si>
    <t xml:space="preserve">avg_interest_rate</t>
  </si>
  <si>
    <t xml:space="preserve">bad_rate</t>
  </si>
  <si>
    <t xml:space="preserve">Central</t>
  </si>
  <si>
    <t xml:space="preserve">East</t>
  </si>
  <si>
    <t xml:space="preserve">North</t>
  </si>
  <si>
    <t xml:space="preserve">South</t>
  </si>
  <si>
    <t xml:space="preserve">West</t>
  </si>
  <si>
    <t xml:space="preserve">Risk Segment Aggregates (from K-Means clustering, python/04_risk_segmentation_kmeans.py)</t>
  </si>
  <si>
    <t xml:space="preserve">risk_segment</t>
  </si>
  <si>
    <t xml:space="preserve">num_customers</t>
  </si>
  <si>
    <t xml:space="preserve">avg_default_rate</t>
  </si>
  <si>
    <t xml:space="preserve">Distressed</t>
  </si>
  <si>
    <t xml:space="preserve">Low-Risk</t>
  </si>
  <si>
    <t xml:space="preserve">Moderate-Risk</t>
  </si>
  <si>
    <t xml:space="preserve">Watch-list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</si>
</sst>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\$#,##0"/>
    <numFmt numFmtId="167" formatCode="0.00%"/>
    <numFmt numFmtId="168" formatCode="0.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</cols>
  <sheetData>
    <row r="1" customFormat="false" ht="19.5" hidden="false" customHeight="true" outlineLevel="0" collapsed="false">
      <c r="A1" s="2" t="s">
        <v>0</v>
      </c>
      <c r="B1" s="2"/>
      <c r="C1" s="2"/>
      <c r="D1" s="2"/>
    </row>
    <row r="2" customFormat="false" ht="15" hidden="false" customHeight="true" outlineLevel="0" collapsed="false">
      <c r="A2" s="3" t="s">
        <v>1</v>
      </c>
      <c r="B2" s="3"/>
      <c r="C2" s="3"/>
      <c r="D2" s="3"/>
    </row>
    <row r="4" customFormat="false" ht="15" hidden="false" customHeight="true" outlineLevel="0" collapsed="false">
      <c r="A4" s="4" t="s">
        <v>2</v>
      </c>
      <c r="B4" s="4" t="s">
        <v>3</v>
      </c>
    </row>
    <row r="5" customFormat="false" ht="15" hidden="false" customHeight="true" outlineLevel="0" collapsed="false">
      <c r="A5" s="5" t="s">
        <v>4</v>
      </c>
      <c r="B5" s="6" t="n">
        <f aca="false">SUM(Region_Data!B4:B8)</f>
        <v>8000</v>
      </c>
    </row>
    <row r="6" customFormat="false" ht="15" hidden="false" customHeight="true" outlineLevel="0" collapsed="false">
      <c r="A6" s="5" t="s">
        <v>5</v>
      </c>
      <c r="B6" s="7" t="n">
        <f aca="false">SUM(Region_Data!C4:C8)</f>
        <v>440592100</v>
      </c>
    </row>
    <row r="7" customFormat="false" ht="15" hidden="false" customHeight="true" outlineLevel="0" collapsed="false">
      <c r="A7" s="5" t="s">
        <v>6</v>
      </c>
      <c r="B7" s="6" t="n">
        <f aca="false">SUM(Region_Data!D4:D8)</f>
        <v>160</v>
      </c>
    </row>
    <row r="8" customFormat="false" ht="15" hidden="false" customHeight="true" outlineLevel="0" collapsed="false">
      <c r="A8" s="5" t="s">
        <v>7</v>
      </c>
      <c r="B8" s="7" t="n">
        <f aca="false">SUM(Region_Data!E4:E8)</f>
        <v>9275500</v>
      </c>
    </row>
    <row r="9" customFormat="false" ht="15" hidden="false" customHeight="true" outlineLevel="0" collapsed="false">
      <c r="A9" s="5" t="s">
        <v>8</v>
      </c>
      <c r="B9" s="8" t="n">
        <f aca="false">SUM(Region_Data!E4:E8)/SUM(Region_Data!C4:C8)</f>
        <v>0.0210523520507971</v>
      </c>
    </row>
    <row r="10" customFormat="false" ht="15" hidden="false" customHeight="true" outlineLevel="0" collapsed="false">
      <c r="A10" s="5" t="s">
        <v>9</v>
      </c>
      <c r="B10" s="8" t="n">
        <f aca="false">SUM(Region_Data!D4:D8)/SUM(Region_Data!B4:B8)</f>
        <v>0.02</v>
      </c>
    </row>
    <row r="11" customFormat="false" ht="15" hidden="false" customHeight="true" outlineLevel="0" collapsed="false">
      <c r="A11" s="5" t="s">
        <v>10</v>
      </c>
      <c r="B11" s="9" t="n">
        <f aca="false">SUMPRODUCT(Region_Data!G4:G8,Region_Data!B4:B8)/SUM(Region_Data!B4:B8)</f>
        <v>679.65662875</v>
      </c>
    </row>
    <row r="12" customFormat="false" ht="15" hidden="false" customHeight="true" outlineLevel="0" collapsed="false">
      <c r="A12" s="5" t="s">
        <v>11</v>
      </c>
      <c r="B12" s="10" t="n">
        <f aca="false">SUMPRODUCT(Region_Data!F4:F8,Region_Data!B4:B8)/SUM(Region_Data!B4:B8)</f>
        <v>0.05404375</v>
      </c>
    </row>
    <row r="13" customFormat="false" ht="15" hidden="false" customHeight="true" outlineLevel="0" collapsed="false">
      <c r="A13" s="5" t="s">
        <v>12</v>
      </c>
      <c r="B13" s="8" t="n">
        <f aca="false">SUMPRODUCT(Region_Data!I4:I8,Region_Data!B4:B8)/SUM(Region_Data!B4:B8)</f>
        <v>11.60639375</v>
      </c>
    </row>
    <row r="14" customFormat="false" ht="15" hidden="false" customHeight="true" outlineLevel="0" collapsed="false">
      <c r="A14" s="5" t="s">
        <v>13</v>
      </c>
      <c r="B14" s="11" t="str">
        <f aca="false">INDEX(Region_Data!A4:A8,MATCH(MAX(Region_Data!J4:J8),Region_Data!J4:J8,0))</f>
        <v>North</v>
      </c>
    </row>
    <row r="15" customFormat="false" ht="15" hidden="false" customHeight="true" outlineLevel="0" collapsed="false">
      <c r="A15" s="5" t="s">
        <v>14</v>
      </c>
      <c r="B15" s="6" t="n">
        <f aca="false">INDEX(Segment_Data!B4:B7,MATCH("Distressed",Segment_Data!A4:A7,0))</f>
        <v>660</v>
      </c>
    </row>
    <row r="16" customFormat="false" ht="15" hidden="false" customHeight="true" outlineLevel="0" collapsed="false">
      <c r="A16" s="5" t="s">
        <v>15</v>
      </c>
      <c r="B16" s="8" t="n">
        <f aca="false">INDEX(Segment_Data!C4:C7,MATCH("Distressed",Segment_Data!A4:A7,0))</f>
        <v>0.0318</v>
      </c>
    </row>
    <row r="18" customFormat="false" ht="15" hidden="false" customHeight="true" outlineLevel="0" collapsed="false">
      <c r="A18" s="12" t="s">
        <v>16</v>
      </c>
      <c r="B18" s="12"/>
      <c r="C18" s="12"/>
      <c r="D18" s="12"/>
    </row>
  </sheetData>
  <mergeCells count="3">
    <mergeCell ref="A1:D1"/>
    <mergeCell ref="A2:D2"/>
    <mergeCell ref="A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1" width="16"/>
    <col collapsed="false" customWidth="true" hidden="false" outlineLevel="0" max="10" min="10" style="1" width="14"/>
  </cols>
  <sheetData>
    <row r="1" customFormat="false" ht="15" hidden="false" customHeight="true" outlineLevel="0" collapsed="false">
      <c r="A1" s="3" t="s">
        <v>17</v>
      </c>
      <c r="B1" s="3"/>
      <c r="C1" s="3"/>
      <c r="D1" s="3"/>
      <c r="E1" s="3"/>
      <c r="F1" s="3"/>
      <c r="G1" s="3"/>
      <c r="H1" s="3"/>
      <c r="I1" s="3"/>
    </row>
    <row r="3" customFormat="false" ht="15" hidden="false" customHeight="true" outlineLevel="0" collapsed="false">
      <c r="A3" s="13" t="s">
        <v>18</v>
      </c>
      <c r="B3" s="13" t="s">
        <v>19</v>
      </c>
      <c r="C3" s="13" t="s">
        <v>20</v>
      </c>
      <c r="D3" s="13" t="s">
        <v>21</v>
      </c>
      <c r="E3" s="13" t="s">
        <v>22</v>
      </c>
      <c r="F3" s="13" t="s">
        <v>23</v>
      </c>
      <c r="G3" s="13" t="s">
        <v>24</v>
      </c>
      <c r="H3" s="13" t="s">
        <v>25</v>
      </c>
      <c r="I3" s="13" t="s">
        <v>26</v>
      </c>
      <c r="J3" s="4" t="s">
        <v>27</v>
      </c>
    </row>
    <row r="4" customFormat="false" ht="15" hidden="false" customHeight="true" outlineLevel="0" collapsed="false">
      <c r="A4" s="14" t="s">
        <v>28</v>
      </c>
      <c r="B4" s="14" t="n">
        <v>1320</v>
      </c>
      <c r="C4" s="14" t="n">
        <v>72360300</v>
      </c>
      <c r="D4" s="14" t="n">
        <v>24</v>
      </c>
      <c r="E4" s="14" t="n">
        <v>1632500</v>
      </c>
      <c r="F4" s="14" t="n">
        <v>0.06</v>
      </c>
      <c r="G4" s="14" t="n">
        <v>679.54</v>
      </c>
      <c r="H4" s="14" t="n">
        <v>1.96</v>
      </c>
      <c r="I4" s="14" t="n">
        <v>11.63</v>
      </c>
      <c r="J4" s="8" t="n">
        <f aca="false">E4/C4</f>
        <v>0.0225607135404359</v>
      </c>
    </row>
    <row r="5" customFormat="false" ht="15" hidden="false" customHeight="true" outlineLevel="0" collapsed="false">
      <c r="A5" s="14" t="s">
        <v>29</v>
      </c>
      <c r="B5" s="14" t="n">
        <v>1453</v>
      </c>
      <c r="C5" s="14" t="n">
        <v>79791100</v>
      </c>
      <c r="D5" s="14" t="n">
        <v>27</v>
      </c>
      <c r="E5" s="14" t="n">
        <v>1425300</v>
      </c>
      <c r="F5" s="14" t="n">
        <v>0.05</v>
      </c>
      <c r="G5" s="14" t="n">
        <v>677.79</v>
      </c>
      <c r="H5" s="14" t="n">
        <v>1.9</v>
      </c>
      <c r="I5" s="14" t="n">
        <v>11.54</v>
      </c>
      <c r="J5" s="8" t="n">
        <f aca="false">E5/C5</f>
        <v>0.0178628944832193</v>
      </c>
    </row>
    <row r="6" customFormat="false" ht="15" hidden="false" customHeight="true" outlineLevel="0" collapsed="false">
      <c r="A6" s="14" t="s">
        <v>30</v>
      </c>
      <c r="B6" s="14" t="n">
        <v>1684</v>
      </c>
      <c r="C6" s="14" t="n">
        <v>93568500</v>
      </c>
      <c r="D6" s="14" t="n">
        <v>36</v>
      </c>
      <c r="E6" s="14" t="n">
        <v>2136500</v>
      </c>
      <c r="F6" s="14" t="n">
        <v>0.05</v>
      </c>
      <c r="G6" s="14" t="n">
        <v>679.97</v>
      </c>
      <c r="H6" s="14" t="n">
        <v>1.98</v>
      </c>
      <c r="I6" s="14" t="n">
        <v>11.67</v>
      </c>
      <c r="J6" s="8" t="n">
        <f aca="false">E6/C6</f>
        <v>0.0228335390649631</v>
      </c>
    </row>
    <row r="7" customFormat="false" ht="15" hidden="false" customHeight="true" outlineLevel="0" collapsed="false">
      <c r="A7" s="14" t="s">
        <v>31</v>
      </c>
      <c r="B7" s="14" t="n">
        <v>1915</v>
      </c>
      <c r="C7" s="14" t="n">
        <v>105693900</v>
      </c>
      <c r="D7" s="14" t="n">
        <v>37</v>
      </c>
      <c r="E7" s="14" t="n">
        <v>2050500</v>
      </c>
      <c r="F7" s="14" t="n">
        <v>0.06</v>
      </c>
      <c r="G7" s="14" t="n">
        <v>681.64</v>
      </c>
      <c r="H7" s="14" t="n">
        <v>2.03</v>
      </c>
      <c r="I7" s="14" t="n">
        <v>11.59</v>
      </c>
      <c r="J7" s="8" t="n">
        <f aca="false">E7/C7</f>
        <v>0.0194003627456268</v>
      </c>
    </row>
    <row r="8" customFormat="false" ht="15" hidden="false" customHeight="true" outlineLevel="0" collapsed="false">
      <c r="A8" s="14" t="s">
        <v>32</v>
      </c>
      <c r="B8" s="14" t="n">
        <v>1628</v>
      </c>
      <c r="C8" s="14" t="n">
        <v>89178300</v>
      </c>
      <c r="D8" s="14" t="n">
        <v>36</v>
      </c>
      <c r="E8" s="14" t="n">
        <v>2030700</v>
      </c>
      <c r="F8" s="14" t="n">
        <v>0.05</v>
      </c>
      <c r="G8" s="14" t="n">
        <v>678.76</v>
      </c>
      <c r="H8" s="14" t="n">
        <v>1.82</v>
      </c>
      <c r="I8" s="14" t="n">
        <v>11.6</v>
      </c>
      <c r="J8" s="8" t="n">
        <f aca="false">E8/C8</f>
        <v>0.022771234706201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1" width="18"/>
  </cols>
  <sheetData>
    <row r="1" customFormat="false" ht="15" hidden="false" customHeight="true" outlineLevel="0" collapsed="false">
      <c r="A1" s="3" t="s">
        <v>33</v>
      </c>
      <c r="B1" s="3"/>
      <c r="C1" s="3"/>
      <c r="D1" s="3"/>
      <c r="E1" s="3"/>
      <c r="F1" s="3"/>
      <c r="G1" s="3"/>
    </row>
    <row r="3" customFormat="false" ht="15" hidden="false" customHeight="true" outlineLevel="0" collapsed="false">
      <c r="A3" s="13" t="s">
        <v>34</v>
      </c>
      <c r="B3" s="13" t="s">
        <v>35</v>
      </c>
      <c r="C3" s="13" t="s">
        <v>36</v>
      </c>
      <c r="D3" s="13" t="s">
        <v>23</v>
      </c>
      <c r="E3" s="13" t="s">
        <v>24</v>
      </c>
      <c r="F3" s="13" t="s">
        <v>25</v>
      </c>
      <c r="G3" s="13" t="s">
        <v>26</v>
      </c>
    </row>
    <row r="4" customFormat="false" ht="15" hidden="false" customHeight="true" outlineLevel="0" collapsed="false">
      <c r="A4" s="14" t="s">
        <v>37</v>
      </c>
      <c r="B4" s="14" t="n">
        <v>660</v>
      </c>
      <c r="C4" s="14" t="n">
        <v>0.0318</v>
      </c>
      <c r="D4" s="14" t="n">
        <v>0.1909</v>
      </c>
      <c r="E4" s="14" t="n">
        <v>681.6333</v>
      </c>
      <c r="F4" s="14" t="n">
        <v>3.088</v>
      </c>
      <c r="G4" s="14" t="n">
        <v>11.6312</v>
      </c>
    </row>
    <row r="5" customFormat="false" ht="15" hidden="false" customHeight="true" outlineLevel="0" collapsed="false">
      <c r="A5" s="14" t="s">
        <v>38</v>
      </c>
      <c r="B5" s="14" t="n">
        <v>2890</v>
      </c>
      <c r="C5" s="14" t="n">
        <v>0.0138</v>
      </c>
      <c r="D5" s="14" t="n">
        <v>0.0429</v>
      </c>
      <c r="E5" s="14" t="n">
        <v>678.1927</v>
      </c>
      <c r="F5" s="14" t="n">
        <v>1.4903</v>
      </c>
      <c r="G5" s="14" t="n">
        <v>11.5276</v>
      </c>
    </row>
    <row r="6" customFormat="false" ht="15" hidden="false" customHeight="true" outlineLevel="0" collapsed="false">
      <c r="A6" s="14" t="s">
        <v>39</v>
      </c>
      <c r="B6" s="14" t="n">
        <v>2648</v>
      </c>
      <c r="C6" s="14" t="n">
        <v>0.0193</v>
      </c>
      <c r="D6" s="14" t="n">
        <v>0.0437</v>
      </c>
      <c r="E6" s="14" t="n">
        <v>679.7878</v>
      </c>
      <c r="F6" s="14" t="n">
        <v>2.1378</v>
      </c>
      <c r="G6" s="14" t="n">
        <v>11.668</v>
      </c>
    </row>
    <row r="7" customFormat="false" ht="15" hidden="false" customHeight="true" outlineLevel="0" collapsed="false">
      <c r="A7" s="14" t="s">
        <v>40</v>
      </c>
      <c r="B7" s="14" t="n">
        <v>1802</v>
      </c>
      <c r="C7" s="14" t="n">
        <v>0.0266</v>
      </c>
      <c r="D7" s="14" t="n">
        <v>0.0426</v>
      </c>
      <c r="E7" s="14" t="n">
        <v>681.0943</v>
      </c>
      <c r="F7" s="14" t="n">
        <v>1.9504</v>
      </c>
      <c r="G7" s="14" t="n">
        <v>11.6346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2026-08-04T04:55:19Z</dcterms:created>
  <dc:creator>openpyxl</dc:creator>
  <dc:description/>
  <dc:language>en-US</dc:language>
  <cp:lastModifiedBy/>
  <dcterms:modified xsi:type="dcterms:W3CDTF">2026-08-04T04:55:57Z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